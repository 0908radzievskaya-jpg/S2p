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457f4a710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9b8741b8a5c40ee"/>
    <x:sheet xmlns:r="http://schemas.openxmlformats.org/officeDocument/2006/relationships" name="Себестоимость" sheetId="2" r:id="R8971fe62916840cd"/>
    <x:sheet xmlns:r="http://schemas.openxmlformats.org/officeDocument/2006/relationships" name="Сроки" sheetId="3" r:id="Re8f06b11492842e6"/>
    <x:sheet xmlns:r="http://schemas.openxmlformats.org/officeDocument/2006/relationships" name="Риски и вопросы" sheetId="4" r:id="Rff91194d1bfc45f7"/>
    <x:sheet xmlns:r="http://schemas.openxmlformats.org/officeDocument/2006/relationships" name="Источники" sheetId="5" r:id="Rb18faa06b6d5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3" fillId="4" borderId="0" xfId="0" applyNumberFormat="1" applyFont="1" applyFill="1" applyBorder="1"/>
    <x:xf numFmtId="201" fontId="0" fillId="0" borderId="1" xfId="0" applyNumberFormat="1" applyFont="1" applyFill="1" applyBorder="1"/>
    <x:xf numFmtId="201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201" fontId="3" fillId="5" borderId="0" xfId="0" applyNumberFormat="1" applyFont="1" applyFill="1" applyBorder="1"/>
    <x:xf numFmtId="201" fontId="3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wrapText="1"/>
    </x:xf>
    <x:xf numFmtId="200" fontId="3" fillId="5" borderId="1" xfId="0" applyNumberFormat="1" applyFont="1" applyFill="1" applyBorder="1" applyAlignment="1">
      <x:alignment wrapText="1"/>
    </x:xf>
    <x:xf numFmtId="201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342f4be424991" /><Relationship Type="http://schemas.openxmlformats.org/officeDocument/2006/relationships/theme" Target="/xl/theme/theme1.xml" Id="R5a5d9f300fe64f59" /><Relationship Type="http://schemas.openxmlformats.org/officeDocument/2006/relationships/sharedStrings" Target="/xl/sharedStrings.xml" Id="Rac7b8264e4cc423a" /><Relationship Type="http://schemas.openxmlformats.org/officeDocument/2006/relationships/worksheet" Target="/xl/worksheets/sheet1.xml" Id="R09b8741b8a5c40ee" /><Relationship Type="http://schemas.openxmlformats.org/officeDocument/2006/relationships/worksheet" Target="/xl/worksheets/sheet2.xml" Id="R8971fe62916840cd" /><Relationship Type="http://schemas.openxmlformats.org/officeDocument/2006/relationships/worksheet" Target="/xl/worksheets/sheet3.xml" Id="Re8f06b11492842e6" /><Relationship Type="http://schemas.openxmlformats.org/officeDocument/2006/relationships/worksheet" Target="/xl/worksheets/sheet4.xml" Id="Rff91194d1bfc45f7" /><Relationship Type="http://schemas.openxmlformats.org/officeDocument/2006/relationships/worksheet" Target="/xl/worksheets/sheet5.xml" Id="Rb18faa06b6d545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0c754112594c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Структура НМЦК без НДС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Сумма без НДС, руб.</c:v>
          </c:tx>
          <c:cat>
            <c:strRef>
              <c:f>'Сводка'!$A$10:$A$16</c:f>
              <c:strCache>
                <c:ptCount val="0"/>
              </c:strCache>
            </c:strRef>
          </c:cat>
          <c:val>
            <c:numRef>
              <c:f>'Сводка'!$B$10:$B$16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0c754112594ce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4bf701a2c34a1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18" hidden="0" customWidth="1"/>
    <x:col min="5" max="5" width="4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4" t="str">
        <x:v>ПИР. Анализ НМЦК, себестоимости и рисков - Галерея на Каширке</x:v>
      </x:c>
      <x:c r="B1" s="34"/>
      <x:c r="C1" s="34"/>
      <x:c r="D1" s="34"/>
      <x:c r="E1" s="34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35" t="str">
        <x:v>Объект</x:v>
      </x:c>
      <x:c r="B3" s="35" t="str">
        <x:v>ГБУК г. Москвы "Объединение "ВЗ Москвы" - "Галерея на Каширке"</x:v>
      </x:c>
      <x:c r="C3" s="35"/>
      <x:c r="D3" s="35" t="str">
        <x:v>НДС</x:v>
      </x:c>
      <x:c r="E3" s="36" t="n">
        <x:v>0.22</x:v>
      </x:c>
      <x:c r="F3" s="35"/>
      <x:c r="G3" s="35"/>
      <x:c r="H3" s="35"/>
    </x:row>
    <x:row r="4">
      <x:c r="A4" s="35" t="str">
        <x:v>Адрес</x:v>
      </x:c>
      <x:c r="B4" s="35" t="str">
        <x:v>г. Москва, ул. Академика Миллионщикова, д. 35, корп. 5</x:v>
      </x:c>
      <x:c r="C4" s="35"/>
      <x:c r="D4" s="35" t="str">
        <x:v>НДС, руб.</x:v>
      </x:c>
      <x:c r="E4" s="35" t="n">
        <x:v>4892791.73</x:v>
      </x:c>
      <x:c r="F4" s="35"/>
      <x:c r="G4" s="35"/>
      <x:c r="H4" s="35"/>
    </x:row>
    <x:row r="5">
      <x:c r="A5" s="35" t="str">
        <x:v>Площадь объекта, м2</x:v>
      </x:c>
      <x:c r="B5" s="37" t="n">
        <x:v>1521.5</x:v>
      </x:c>
      <x:c r="C5" s="35"/>
      <x:c r="D5" s="35" t="str">
        <x:v>НМЦК без НДС на 1 м2</x:v>
      </x:c>
      <x:c r="E5" s="37" t="n">
        <x:v>14617.12942490963</x:v>
      </x:c>
      <x:c r="F5" s="35"/>
      <x:c r="G5" s="35"/>
      <x:c r="H5" s="35"/>
    </x:row>
    <x:row r="6">
      <x:c r="A6" s="35" t="str">
        <x:v>НМЦК с НДС, руб.</x:v>
      </x:c>
      <x:c r="B6" s="37" t="n">
        <x:v>27132754.15</x:v>
      </x:c>
      <x:c r="C6" s="35"/>
      <x:c r="D6" s="35" t="str">
        <x:v>НМЦК с НДС на 1 м2</x:v>
      </x:c>
      <x:c r="E6" s="37" t="n">
        <x:v>17832.897896812356</x:v>
      </x:c>
      <x:c r="F6" s="35"/>
      <x:c r="G6" s="35"/>
      <x:c r="H6" s="35"/>
    </x:row>
    <x:row r="7">
      <x:c r="A7" s="35" t="str">
        <x:v>НМЦК без НДС, руб.</x:v>
      </x:c>
      <x:c r="B7" s="37" t="n">
        <x:v>22239962.42</x:v>
      </x:c>
      <x:c r="C7" s="35"/>
      <x:c r="D7" s="35" t="str">
        <x:v>Две загруженные сметы</x:v>
      </x:c>
      <x:c r="E7" s="35" t="str">
        <x:v>идентичны по значениям и формулам</x:v>
      </x:c>
      <x:c r="F7" s="35"/>
      <x:c r="G7" s="35"/>
      <x:c r="H7" s="35"/>
    </x:row>
    <x:row r="8">
      <x:c r="A8" s="35"/>
      <x:c r="B8" s="35"/>
      <x:c r="C8" s="35"/>
      <x:c r="D8" s="35"/>
      <x:c r="E8" s="35"/>
      <x:c r="F8" s="35"/>
      <x:c r="G8" s="35"/>
      <x:c r="H8" s="35"/>
    </x:row>
    <x:row r="9">
      <x:c r="A9" s="14" t="str">
        <x:v>Раздел сметы</x:v>
      </x:c>
      <x:c r="B9" s="14" t="str">
        <x:v>Сумма без НДС, руб.</x:v>
      </x:c>
      <x:c r="C9" s="14" t="str">
        <x:v>Доля в НМЦК без НДС</x:v>
      </x:c>
      <x:c r="D9" s="14" t="str">
        <x:v>Сумма с НДС, руб.</x:v>
      </x:c>
      <x:c r="E9" s="14" t="str">
        <x:v>Источник/лист</x:v>
      </x:c>
      <x:c r="F9" s="35"/>
      <x:c r="G9" s="35"/>
      <x:c r="H9" s="35"/>
    </x:row>
    <x:row r="10">
      <x:c r="A10" s="35" t="str">
        <x:v>Инженерно-геодезические изыскания</x:v>
      </x:c>
      <x:c r="B10" s="37" t="n">
        <x:v>43154.84</x:v>
      </x:c>
      <x:c r="C10" s="38" t="n">
        <x:f>B10/$B$17</x:f>
        <x:v>0.0019404187464449859</x:v>
      </x:c>
      <x:c r="D10" s="37" t="n">
        <x:f>B10*(1+$E$3)</x:f>
        <x:v>52648.9048</x:v>
      </x:c>
      <x:c r="E10" s="35" t="str">
        <x:v>Лист «Сводная смета» / «Геодезия»</x:v>
      </x:c>
      <x:c r="F10" s="35"/>
      <x:c r="G10" s="35"/>
      <x:c r="H10" s="35"/>
    </x:row>
    <x:row r="11">
      <x:c r="A11" s="35" t="str">
        <x:v>Инженерно-техническое обследование</x:v>
      </x:c>
      <x:c r="B11" s="37" t="n">
        <x:v>1032911.55</x:v>
      </x:c>
      <x:c r="C11" s="38" t="n">
        <x:f>B11/$B$17</x:f>
        <x:v>0.04644394313684276</x:v>
      </x:c>
      <x:c r="D11" s="37" t="n">
        <x:f>B11*(1+$E$3)</x:f>
        <x:v>1260152.091</x:v>
      </x:c>
      <x:c r="E11" s="35" t="str">
        <x:v>Лист «Сводная смета» / «Обследование»</x:v>
      </x:c>
      <x:c r="F11" s="35"/>
      <x:c r="G11" s="35"/>
      <x:c r="H11" s="35"/>
    </x:row>
    <x:row r="12">
      <x:c r="A12" s="35" t="str">
        <x:v>Проектная документация</x:v>
      </x:c>
      <x:c r="B12" s="37" t="n">
        <x:v>7207555.74</x:v>
      </x:c>
      <x:c r="C12" s="38" t="n">
        <x:f>B12/$B$17</x:f>
        <x:v>0.3240812913208151</x:v>
      </x:c>
      <x:c r="D12" s="37" t="n">
        <x:f>B12*(1+$E$3)</x:f>
        <x:v>8793218.0028</x:v>
      </x:c>
      <x:c r="E12" s="35" t="str">
        <x:v>Лист «Сводная смета» / «ПСД»</x:v>
      </x:c>
      <x:c r="F12" s="35"/>
      <x:c r="G12" s="35"/>
      <x:c r="H12" s="35"/>
    </x:row>
    <x:row r="13">
      <x:c r="A13" s="35" t="str">
        <x:v>Рабочая документация</x:v>
      </x:c>
      <x:c r="B13" s="37" t="n">
        <x:v>8781928.95</x:v>
      </x:c>
      <x:c r="C13" s="38" t="n">
        <x:f>B13/$B$17</x:f>
        <x:v>0.39487157325871053</x:v>
      </x:c>
      <x:c r="D13" s="37" t="n">
        <x:f>B13*(1+$E$3)</x:f>
        <x:v>10713953.318999998</x:v>
      </x:c>
      <x:c r="E13" s="35" t="str">
        <x:v>Лист «Сводная смета» / «РД»</x:v>
      </x:c>
      <x:c r="F13" s="35"/>
      <x:c r="G13" s="35"/>
      <x:c r="H13" s="35"/>
    </x:row>
    <x:row r="14">
      <x:c r="A14" s="35" t="str">
        <x:v>Рабочая документация по интерьерам</x:v>
      </x:c>
      <x:c r="B14" s="37" t="n">
        <x:v>1297236.89</x:v>
      </x:c>
      <x:c r="C14" s="38" t="n">
        <x:f>B14/$B$17</x:f>
        <x:v>0.058329095414002045</x:v>
      </x:c>
      <x:c r="D14" s="37" t="n">
        <x:f>B14*(1+$E$3)</x:f>
        <x:v>1582629.0058</x:v>
      </x:c>
      <x:c r="E14" s="35" t="str">
        <x:v>Лист «Сводная смета» / «Интерьеры РД»</x:v>
      </x:c>
      <x:c r="F14" s="35"/>
      <x:c r="G14" s="35"/>
      <x:c r="H14" s="35"/>
    </x:row>
    <x:row r="15">
      <x:c r="A15" s="35" t="str">
        <x:v>СТУ по пожарной безопасности</x:v>
      </x:c>
      <x:c r="B15" s="37" t="n">
        <x:v>2699658.45</x:v>
      </x:c>
      <x:c r="C15" s="38" t="n">
        <x:f>B15/$B$17</x:f>
        <x:v>0.12138772534850353</x:v>
      </x:c>
      <x:c r="D15" s="37" t="n">
        <x:f>B15*(1+$E$3)</x:f>
        <x:v>3293583.3090000004</x:v>
      </x:c>
      <x:c r="E15" s="35" t="str">
        <x:v>Лист «Сводная смета» / «СТУ»</x:v>
      </x:c>
      <x:c r="F15" s="35"/>
      <x:c r="G15" s="35"/>
      <x:c r="H15" s="35"/>
    </x:row>
    <x:row r="16">
      <x:c r="A16" s="35" t="str">
        <x:v>Наружные инженерные сети</x:v>
      </x:c>
      <x:c r="B16" s="37" t="n">
        <x:v>1177516</x:v>
      </x:c>
      <x:c r="C16" s="38" t="n">
        <x:f>B16/$B$17</x:f>
        <x:v>0.05294595277468099</x:v>
      </x:c>
      <x:c r="D16" s="37" t="n">
        <x:f>B16*(1+$E$3)</x:f>
        <x:v>1436569.52</x:v>
      </x:c>
      <x:c r="E16" s="35" t="str">
        <x:v>Лист «Сводная смета» / «Наружные сети»</x:v>
      </x:c>
      <x:c r="F16" s="35"/>
      <x:c r="G16" s="35"/>
      <x:c r="H16" s="35"/>
    </x:row>
    <x:row r="17">
      <x:c r="A17" s="39" t="str">
        <x:v>Итого без НДС</x:v>
      </x:c>
      <x:c r="B17" s="40" t="n">
        <x:v>22239962.42</x:v>
      </x:c>
      <x:c r="C17" s="41" t="n">
        <x:f>SUM(C10:C16)</x:f>
        <x:v>0.9999999999999998</x:v>
      </x:c>
      <x:c r="D17" s="40" t="n">
        <x:f>B17*(1+$E$3)</x:f>
        <x:v>27132754.152400002</x:v>
      </x:c>
      <x:c r="E17" s="35"/>
      <x:c r="F17" s="35"/>
      <x:c r="G17" s="35"/>
      <x:c r="H17" s="35"/>
    </x:row>
    <x:row r="18">
      <x:c r="A18" s="39" t="str">
        <x:v>НДС 22%</x:v>
      </x:c>
      <x:c r="B18" s="40" t="n">
        <x:v>4892791.73</x:v>
      </x:c>
      <x:c r="C18" s="39"/>
      <x:c r="D18" s="40"/>
      <x:c r="E18" s="35"/>
      <x:c r="F18" s="35"/>
      <x:c r="G18" s="35"/>
      <x:c r="H18" s="35"/>
    </x:row>
    <x:row r="19">
      <x:c r="A19" s="39" t="str">
        <x:v>Итого с НДС</x:v>
      </x:c>
      <x:c r="B19" s="40" t="n">
        <x:v>27132754.15</x:v>
      </x:c>
      <x:c r="C19" s="39"/>
      <x:c r="D19" s="40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</x:sheetData>
  <x:pageMargins left="0.7" right="0.7" top="0.75" bottom="0.75" header="0.3" footer="0.3"/>
  <x:drawing xmlns:r="http://schemas.openxmlformats.org/officeDocument/2006/relationships" r:id="Rd34bf701a2c34a1b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55" hidden="0" customWidth="1"/>
    <x:col min="5" max="5" width="24" hidden="0" customWidth="1"/>
  </x:cols>
  <x:sheetData>
    <x:row r="1">
      <x:c r="A1" s="58" t="str">
        <x:v>Оценка производственной себестоимости, без НДС</x:v>
      </x:c>
      <x:c r="B1" s="58"/>
      <x:c r="C1" s="58"/>
      <x:c r="D1" s="58"/>
      <x:c r="E1" s="58"/>
    </x:row>
    <x:row r="2">
      <x:c r="A2" s="35"/>
      <x:c r="B2" s="35"/>
      <x:c r="C2" s="35"/>
      <x:c r="D2" s="35"/>
      <x:c r="E2" s="35"/>
    </x:row>
    <x:row r="3">
      <x:c r="A3" s="35" t="str">
        <x:v>НМЦК без НДС</x:v>
      </x:c>
      <x:c r="B3" s="37" t="n">
        <x:v>22239962.42</x:v>
      </x:c>
      <x:c r="C3" s="37" t="str">
        <x:v>НМЦК с НДС</x:v>
      </x:c>
      <x:c r="D3" s="37" t="n">
        <x:v>27132754.15</x:v>
      </x:c>
      <x:c r="E3" s="35"/>
    </x:row>
    <x:row r="4">
      <x:c r="A4" s="35" t="str">
        <x:v>Сценарий</x:v>
      </x:c>
      <x:c r="B4" s="35" t="str">
        <x:v>Базовый</x:v>
      </x:c>
      <x:c r="C4" s="35" t="str">
        <x:v>Рисковый</x:v>
      </x:c>
      <x:c r="D4" s="35" t="str">
        <x:v>Комментарий</x:v>
      </x:c>
      <x:c r="E4" s="35"/>
    </x:row>
    <x:row r="5">
      <x:c r="A5" s="35" t="str">
        <x:v>Резерв на риски</x:v>
      </x:c>
      <x:c r="B5" s="36" t="n">
        <x:v>0.12</x:v>
      </x:c>
      <x:c r="C5" s="36" t="n">
        <x:v>0.15</x:v>
      </x:c>
      <x:c r="D5" s="35" t="str">
        <x:v>По технической неопределенности и согласованиям</x:v>
      </x:c>
      <x:c r="E5" s="35"/>
    </x:row>
    <x:row r="6">
      <x:c r="A6" s="35" t="str">
        <x:v>Внутренние накладные/финансовые расходы</x:v>
      </x:c>
      <x:c r="B6" s="36" t="n">
        <x:v>0.08</x:v>
      </x:c>
      <x:c r="C6" s="36" t="n">
        <x:v>0.08</x:v>
      </x:c>
      <x:c r="D6" s="35" t="str">
        <x:v>Проектный офис, гарантия, ЭДО, кассовый разрыв</x:v>
      </x:c>
      <x:c r="E6" s="35"/>
    </x:row>
    <x:row r="7">
      <x:c r="A7" s="35" t="str">
        <x:v>Целевой минимум маржи по выручке без НДС</x:v>
      </x:c>
      <x:c r="B7" s="36" t="n">
        <x:v>0.15</x:v>
      </x:c>
      <x:c r="C7" s="36" t="n">
        <x:v>0.15</x:v>
      </x:c>
      <x:c r="D7" s="35" t="str">
        <x:v>Для решения об участии/скидке</x:v>
      </x:c>
      <x:c r="E7" s="35"/>
    </x:row>
    <x:row r="8">
      <x:c r="A8" s="35" t="str">
        <x:v>Площадь, м2</x:v>
      </x:c>
      <x:c r="B8" s="35" t="n">
        <x:v>1521.5</x:v>
      </x:c>
      <x:c r="C8" s="35" t="str"/>
      <x:c r="D8" s="35" t="str"/>
      <x:c r="E8" s="35"/>
    </x:row>
    <x:row r="9">
      <x:c r="A9" s="35"/>
      <x:c r="B9" s="35"/>
      <x:c r="C9" s="35"/>
      <x:c r="D9" s="35"/>
      <x:c r="E9" s="35"/>
    </x:row>
    <x:row r="10">
      <x:c r="A10" s="13" t="str">
        <x:v>Блок работ/затрат</x:v>
      </x:c>
      <x:c r="B10" s="13" t="str">
        <x:v>Базовый сценарий, руб.</x:v>
      </x:c>
      <x:c r="C10" s="13" t="str">
        <x:v>Рисковый сценарий, руб.</x:v>
      </x:c>
      <x:c r="D10" s="13" t="str">
        <x:v>Примечание</x:v>
      </x:c>
      <x:c r="E10" s="13" t="str">
        <x:v>Источник риска</x:v>
      </x:c>
    </x:row>
    <x:row r="11">
      <x:c r="A11" s="35" t="str">
        <x:v>ГИП, РП, координация, совещания, документооборот</x:v>
      </x:c>
      <x:c r="B11" s="37" t="n">
        <x:v>1050000</x:v>
      </x:c>
      <x:c r="C11" s="37" t="n">
        <x:v>1350000</x:v>
      </x:c>
      <x:c r="D11" s="35" t="str">
        <x:v>Непрерывное управление, контроль экспертизы, приемки и субподрядов.</x:v>
      </x:c>
      <x:c r="E11" s="35" t="str">
        <x:v>ТЗ / смета / экспертная оценка</x:v>
      </x:c>
    </x:row>
    <x:row r="12">
      <x:c r="A12" s="35" t="str">
        <x:v>Обследование, геодезия, обмеры, доступ/выезды, вскрытия</x:v>
      </x:c>
      <x:c r="B12" s="37" t="n">
        <x:v>1150000</x:v>
      </x:c>
      <x:c r="C12" s="37" t="n">
        <x:v>1550000</x:v>
      </x:c>
      <x:c r="D12" s="35" t="str">
        <x:v>Риск работы в действующем учреждении и необходимости доп. инструментальных проверок.</x:v>
      </x:c>
      <x:c r="E12" s="35" t="str">
        <x:v>ТЗ / смета / экспертная оценка</x:v>
      </x:c>
    </x:row>
    <x:row r="13">
      <x:c r="A13" s="35" t="str">
        <x:v>Архитектура, планировки, МГН, интерьеры, демонстрационные материалы</x:v>
      </x:c>
      <x:c r="B13" s="37" t="n">
        <x:v>1650000</x:v>
      </x:c>
      <x:c r="C13" s="37" t="n">
        <x:v>2200000</x:v>
      </x:c>
      <x:c r="D13" s="35" t="str">
        <x:v>Вариантность решений, согласование с Пользователем и ДК Москвы.</x:v>
      </x:c>
      <x:c r="E13" s="35" t="str">
        <x:v>ТЗ / смета / экспертная оценка</x:v>
      </x:c>
    </x:row>
    <x:row r="14">
      <x:c r="A14" s="35" t="str">
        <x:v>Конструктивные решения, фундаменты/перекрытия/кровля/фасады</x:v>
      </x:c>
      <x:c r="B14" s="37" t="n">
        <x:v>1100000</x:v>
      </x:c>
      <x:c r="C14" s="37" t="n">
        <x:v>1450000</x:v>
      </x:c>
      <x:c r="D14" s="35" t="str">
        <x:v>Риск корректировок по результатам обследования.</x:v>
      </x:c>
      <x:c r="E14" s="35" t="str">
        <x:v>ТЗ / смета / экспертная оценка</x:v>
      </x:c>
    </x:row>
    <x:row r="15">
      <x:c r="A15" s="35" t="str">
        <x:v>ОВиК, ИТП, отопление, ВК/НВК, электроснабжение, молниезащита</x:v>
      </x:c>
      <x:c r="B15" s="37" t="n">
        <x:v>4200000</x:v>
      </x:c>
      <x:c r="C15" s="37" t="n">
        <x:v>5500000</x:v>
      </x:c>
      <x:c r="D15" s="35" t="str">
        <x:v>Самый трудоемкий блок: замена систем, климат выставочных/фондовых помещений.</x:v>
      </x:c>
      <x:c r="E15" s="35" t="str">
        <x:v>ТЗ / смета / экспертная оценка</x:v>
      </x:c>
    </x:row>
    <x:row r="16">
      <x:c r="A16" s="35" t="str">
        <x:v>Слаботочные, пожарные, СКУД, СОТ, диспетчеризация, Wi-Fi/ЛВС/радио</x:v>
      </x:c>
      <x:c r="B16" s="37" t="n">
        <x:v>1700000</x:v>
      </x:c>
      <x:c r="C16" s="37" t="n">
        <x:v>2300000</x:v>
      </x:c>
      <x:c r="D16" s="35" t="str">
        <x:v>Много подсистем, интеграции и требования города Москвы.</x:v>
      </x:c>
      <x:c r="E16" s="35" t="str">
        <x:v>ТЗ / смета / экспертная оценка</x:v>
      </x:c>
    </x:row>
    <x:row r="17">
      <x:c r="A17" s="35" t="str">
        <x:v>СТУ, пожарный риск, категории помещений, предварительное планирование ПСП</x:v>
      </x:c>
      <x:c r="B17" s="37" t="n">
        <x:v>1550000</x:v>
      </x:c>
      <x:c r="C17" s="37" t="n">
        <x:v>2100000</x:v>
      </x:c>
      <x:c r="D17" s="35" t="str">
        <x:v>Смета включает СТУ, но сроки/замечания надзорных органов остаются риском.</x:v>
      </x:c>
      <x:c r="E17" s="35" t="str">
        <x:v>ТЗ / смета / экспертная оценка</x:v>
      </x:c>
    </x:row>
    <x:row r="18">
      <x:c r="A18" s="35" t="str">
        <x:v>Сметная документация, ВОР, дефектные ведомости, прайс-подтверждения</x:v>
      </x:c>
      <x:c r="B18" s="37" t="n">
        <x:v>850000</x:v>
      </x:c>
      <x:c r="C18" s="37" t="n">
        <x:v>1150000</x:v>
      </x:c>
      <x:c r="D18" s="35" t="str">
        <x:v>Нужны формулы подсчета объемов и привязки к чертежам по каждому разделу.</x:v>
      </x:c>
      <x:c r="E18" s="35" t="str">
        <x:v>ТЗ / смета / экспертная оценка</x:v>
      </x:c>
    </x:row>
    <x:row r="19">
      <x:c r="A19" s="35" t="str">
        <x:v>Наружные сети, ТУ, расчет нагрузок, взаимодействие с РСО</x:v>
      </x:c>
      <x:c r="B19" s="37" t="n">
        <x:v>700000</x:v>
      </x:c>
      <x:c r="C19" s="37" t="n">
        <x:v>1200000</x:v>
      </x:c>
      <x:c r="D19" s="35" t="str">
        <x:v>Необходимость ТУ определяется в проектировании; риск доп. мощностей.</x:v>
      </x:c>
      <x:c r="E19" s="35" t="str">
        <x:v>ТЗ / смета / экспертная оценка</x:v>
      </x:c>
    </x:row>
    <x:row r="20">
      <x:c r="A20" s="35" t="str">
        <x:v>Экспертиза/сопровождение, колористика, согласования, печать/USB</x:v>
      </x:c>
      <x:c r="B20" s="37" t="n">
        <x:v>800000</x:v>
      </x:c>
      <x:c r="C20" s="37" t="n">
        <x:v>1250000</x:v>
      </x:c>
      <x:c r="D20" s="35" t="str">
        <x:v>Нет явной отдельной строки госпошлин/платежей экспертизы; нужны уточнения.</x:v>
      </x:c>
      <x:c r="E20" s="35" t="str">
        <x:v>ТЗ / смета / экспертная оценка</x:v>
      </x:c>
    </x:row>
    <x:row r="21">
      <x:c r="A21" s="59" t="str">
        <x:v>Итого прямые производственные затраты</x:v>
      </x:c>
      <x:c r="B21" s="60" t="n">
        <x:f>SUM(B11:B20)</x:f>
        <x:v>14750000</x:v>
      </x:c>
      <x:c r="C21" s="60" t="n">
        <x:f>SUM(C11:C20)</x:f>
        <x:v>20050000</x:v>
      </x:c>
      <x:c r="D21" s="35"/>
      <x:c r="E21" s="35"/>
    </x:row>
    <x:row r="22">
      <x:c r="A22" s="59" t="str">
        <x:v>Резерв</x:v>
      </x:c>
      <x:c r="B22" s="60" t="n">
        <x:f>B21*$B$5</x:f>
        <x:v>1770000</x:v>
      </x:c>
      <x:c r="C22" s="60" t="n">
        <x:f>C21*$C$5</x:f>
        <x:v>3007500</x:v>
      </x:c>
      <x:c r="D22" s="35"/>
      <x:c r="E22" s="35"/>
    </x:row>
    <x:row r="23">
      <x:c r="A23" s="59" t="str">
        <x:v>Накладные/финансовые расходы</x:v>
      </x:c>
      <x:c r="B23" s="60" t="n">
        <x:f>(B21+B22)*$B$6</x:f>
        <x:v>1321600</x:v>
      </x:c>
      <x:c r="C23" s="60" t="n">
        <x:f>(C21+C22)*$C$6</x:f>
        <x:v>1844600</x:v>
      </x:c>
      <x:c r="D23" s="35"/>
      <x:c r="E23" s="35"/>
    </x:row>
    <x:row r="24">
      <x:c r="A24" s="59" t="str">
        <x:v>Оценка себестоимости всего</x:v>
      </x:c>
      <x:c r="B24" s="60" t="n">
        <x:f>SUM(B21:B23)</x:f>
        <x:v>17841600</x:v>
      </x:c>
      <x:c r="C24" s="60" t="n">
        <x:f>SUM(C21:C23)</x:f>
        <x:v>24902100</x:v>
      </x:c>
      <x:c r="D24" s="35"/>
      <x:c r="E24" s="35"/>
    </x:row>
    <x:row r="25">
      <x:c r="A25" s="59" t="str">
        <x:v>Ожидаемый результат при НМЦК без НДС</x:v>
      </x:c>
      <x:c r="B25" s="60" t="n">
        <x:f>$B$3-B24</x:f>
        <x:v>4398362.420000002</x:v>
      </x:c>
      <x:c r="C25" s="60" t="n">
        <x:f>$B$3-C24</x:f>
        <x:v>-2662137.579999998</x:v>
      </x:c>
      <x:c r="D25" s="35"/>
      <x:c r="E25" s="35"/>
    </x:row>
    <x:row r="26">
      <x:c r="A26" s="59" t="str">
        <x:v>Маржа при НМЦК без НДС</x:v>
      </x:c>
      <x:c r="B26" s="61" t="n">
        <x:f>B25/$B$3</x:f>
        <x:v>0.19776842860330704</x:v>
      </x:c>
      <x:c r="C26" s="61" t="n">
        <x:f>C25/$B$3</x:f>
        <x:v>-0.11970063301932495</x:v>
      </x:c>
      <x:c r="D26" s="35"/>
      <x:c r="E26" s="35"/>
    </x:row>
    <x:row r="27">
      <x:c r="A27" s="59" t="str">
        <x:v>Цена без НДС для безубыточности</x:v>
      </x:c>
      <x:c r="B27" s="60" t="n">
        <x:f>B24</x:f>
        <x:v>17841600</x:v>
      </x:c>
      <x:c r="C27" s="60" t="n">
        <x:f>C24</x:f>
        <x:v>24902100</x:v>
      </x:c>
      <x:c r="D27" s="35"/>
      <x:c r="E27" s="35"/>
    </x:row>
    <x:row r="28">
      <x:c r="A28" s="59" t="str">
        <x:v>Цена с НДС для маржи 15%</x:v>
      </x:c>
      <x:c r="B28" s="60" t="n">
        <x:f>B24/(1-$B$7)*(1+0.22)</x:f>
        <x:v>25607943.529411767</x:v>
      </x:c>
      <x:c r="C28" s="60" t="n">
        <x:f>C24/(1-$C$7)*(1+0.22)</x:f>
        <x:v>35741837.64705882</x:v>
      </x:c>
      <x:c r="D28" s="35"/>
      <x:c r="E28" s="35"/>
    </x:row>
    <x:row r="29">
      <x:c r="A29" s="59" t="str">
        <x:v>Максимальная скидка к НМЦК для маржи 15%</x:v>
      </x:c>
      <x:c r="B29" s="61" t="n">
        <x:f>1-B28/$D$3</x:f>
        <x:v>0.056198151214525094</x:v>
      </x:c>
      <x:c r="C29" s="61" t="n">
        <x:f>1-C28/$D$3</x:f>
        <x:v>-0.3172948624921965</x:v>
      </x:c>
      <x:c r="D29" s="35"/>
      <x:c r="E29" s="35"/>
    </x:row>
    <x:row r="30">
      <x:c r="A30" s="35"/>
      <x:c r="B30" s="35"/>
      <x:c r="C30" s="35"/>
      <x:c r="D30" s="35"/>
      <x:c r="E30" s="35"/>
    </x:row>
    <x:row r="31">
      <x:c r="A31" s="35"/>
      <x:c r="B31" s="35"/>
      <x:c r="C31" s="35"/>
      <x:c r="D31" s="35"/>
      <x:c r="E31" s="35"/>
    </x:row>
    <x:row r="32">
      <x:c r="A32" s="35"/>
      <x:c r="B32" s="35"/>
      <x:c r="C32" s="35"/>
      <x:c r="D32" s="35"/>
      <x:c r="E32" s="35"/>
    </x:row>
    <x:row r="33">
      <x:c r="A33" s="35"/>
      <x:c r="B33" s="35"/>
      <x:c r="C33" s="35"/>
      <x:c r="D33" s="35"/>
      <x:c r="E33" s="35"/>
    </x:row>
    <x:row r="34">
      <x:c r="A34" s="35"/>
      <x:c r="B34" s="35"/>
      <x:c r="C34" s="35"/>
      <x:c r="D34" s="35"/>
      <x:c r="E34" s="35"/>
    </x:row>
    <x:row r="35">
      <x:c r="A35" s="35"/>
      <x:c r="B35" s="35"/>
      <x:c r="C35" s="35"/>
      <x:c r="D35" s="35"/>
      <x:c r="E35" s="35"/>
    </x:row>
    <x:row r="36">
      <x:c r="A36" s="35"/>
      <x:c r="B36" s="35"/>
      <x:c r="C36" s="35"/>
      <x:c r="D36" s="35"/>
      <x:c r="E36" s="35"/>
    </x:row>
    <x:row r="37">
      <x:c r="A37" s="35"/>
      <x:c r="B37" s="35"/>
      <x:c r="C37" s="35"/>
      <x:c r="D37" s="35"/>
      <x:c r="E37" s="35"/>
    </x:row>
    <x:row r="38">
      <x:c r="A38" s="35"/>
      <x:c r="B38" s="35"/>
      <x:c r="C38" s="35"/>
      <x:c r="D38" s="35"/>
      <x:c r="E38" s="35"/>
    </x:row>
    <x:row r="39">
      <x:c r="A39" s="35"/>
      <x:c r="B39" s="35"/>
      <x:c r="C39" s="35"/>
      <x:c r="D39" s="35"/>
      <x:c r="E39" s="35"/>
    </x:row>
    <x:row r="40">
      <x:c r="A40" s="35"/>
      <x:c r="B40" s="35"/>
      <x:c r="C40" s="35"/>
      <x:c r="D40" s="35"/>
      <x:c r="E40" s="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8" hidden="0" customWidth="1"/>
    <x:col min="3" max="3" width="18" hidden="0" customWidth="1"/>
    <x:col min="4" max="4" width="40" hidden="0" customWidth="1"/>
    <x:col min="5" max="5" width="55" hidden="0" customWidth="1"/>
    <x:col min="6" max="6" width="14" hidden="0" customWidth="1"/>
  </x:cols>
  <x:sheetData>
    <x:row r="1">
      <x:c r="A1" s="58" t="str">
        <x:v>Критический график и контрольные точки</x:v>
      </x:c>
      <x:c r="B1" s="58"/>
      <x:c r="C1" s="58"/>
      <x:c r="D1" s="58"/>
      <x:c r="E1" s="58"/>
      <x:c r="F1" s="58"/>
    </x:row>
    <x:row r="2">
      <x:c r="A2" s="35"/>
      <x:c r="B2" s="35"/>
      <x:c r="C2" s="35"/>
      <x:c r="D2" s="35"/>
      <x:c r="E2" s="35"/>
      <x:c r="F2" s="35"/>
    </x:row>
    <x:row r="3">
      <x:c r="A3" s="13" t="str">
        <x:v>№</x:v>
      </x:c>
      <x:c r="B3" s="13" t="str">
        <x:v>Блок</x:v>
      </x:c>
      <x:c r="C3" s="13" t="str">
        <x:v>Период, день от контракта</x:v>
      </x:c>
      <x:c r="D3" s="13" t="str">
        <x:v>Результат</x:v>
      </x:c>
      <x:c r="E3" s="13" t="str">
        <x:v>Комментарий / риск</x:v>
      </x:c>
      <x:c r="F3" s="13" t="str">
        <x:v>Статус</x:v>
      </x:c>
    </x:row>
    <x:row r="4">
      <x:c r="A4" s="35" t="n">
        <x:v>1</x:v>
      </x:c>
      <x:c r="B4" s="35" t="str">
        <x:v>Старт, команда, доступ, реестр ИРД</x:v>
      </x:c>
      <x:c r="C4" s="35" t="str">
        <x:v>1-5</x:v>
      </x:c>
      <x:c r="D4" s="35" t="str">
        <x:v>Назначить ответственное лицо, получить БТИ/право, запросить недостающие данные</x:v>
      </x:c>
      <x:c r="E4" s="35" t="str">
        <x:v>Критично начать в день 1</x:v>
      </x:c>
      <x:c r="F4" s="35" t="str">
        <x:v>Контроль</x:v>
      </x:c>
    </x:row>
    <x:row r="5">
      <x:c r="A5" s="35" t="n">
        <x:v>2</x:v>
      </x:c>
      <x:c r="B5" s="35" t="str">
        <x:v>Обследования, геодезия, обмеры, анализ систем</x:v>
      </x:c>
      <x:c r="C5" s="35" t="str">
        <x:v>1-45</x:v>
      </x:c>
      <x:c r="D5" s="35" t="str">
        <x:v>Заключение обследования, отчет ИГИ, дефектные предпосылки</x:v>
      </x:c>
      <x:c r="E5" s="35" t="str">
        <x:v>Работы в действующем здании могут требовать ночных/выходных окон</x:v>
      </x:c>
      <x:c r="F5" s="35" t="str">
        <x:v>Контроль</x:v>
      </x:c>
    </x:row>
    <x:row r="6">
      <x:c r="A6" s="35" t="n">
        <x:v>3</x:v>
      </x:c>
      <x:c r="B6" s="35" t="str">
        <x:v>Функциональная программа, варианты, ЗП, согласования с Пользователем</x:v>
      </x:c>
      <x:c r="C6" s="35" t="str">
        <x:v>15-80</x:v>
      </x:c>
      <x:c r="D6" s="35" t="str">
        <x:v>Согласованное уточненное задание и принципиальные решения</x:v>
      </x:c>
      <x:c r="E6" s="35" t="str">
        <x:v>Без фиксации решений РД не стартует надежно</x:v>
      </x:c>
      <x:c r="F6" s="35" t="str">
        <x:v>Контроль</x:v>
      </x:c>
    </x:row>
    <x:row r="7">
      <x:c r="A7" s="35" t="n">
        <x:v>4</x:v>
      </x:c>
      <x:c r="B7" s="35" t="str">
        <x:v>СТУ и пожарные расчетные обоснования</x:v>
      </x:c>
      <x:c r="C7" s="35" t="str">
        <x:v>20-120</x:v>
      </x:c>
      <x:c r="D7" s="35" t="str">
        <x:v>Согласованные СТУ, расчет пожарного риска/категорий</x:v>
      </x:c>
      <x:c r="E7" s="35" t="str">
        <x:v>Главный риск этапа 1</x:v>
      </x:c>
      <x:c r="F7" s="35" t="str">
        <x:v>Контроль</x:v>
      </x:c>
    </x:row>
    <x:row r="8">
      <x:c r="A8" s="35" t="n">
        <x:v>5</x:v>
      </x:c>
      <x:c r="B8" s="35" t="str">
        <x:v>Часть ПД на этап 1</x:v>
      </x:c>
      <x:c r="C8" s="35" t="str">
        <x:v>60-130</x:v>
      </x:c>
      <x:c r="D8" s="35" t="str">
        <x:v>Часть проектной документации, комплект приемки этапа 1</x:v>
      </x:c>
      <x:c r="E8" s="35" t="str">
        <x:v>Резерв минимален</x:v>
      </x:c>
      <x:c r="F8" s="35" t="str">
        <x:v>Контроль</x:v>
      </x:c>
    </x:row>
    <x:row r="9">
      <x:c r="A9" s="35" t="n">
        <x:v>6</x:v>
      </x:c>
      <x:c r="B9" s="35" t="str">
        <x:v>ПД, инженерные нагрузки, ТУ, сметы, колористика</x:v>
      </x:c>
      <x:c r="C9" s="35" t="str">
        <x:v>131-230</x:v>
      </x:c>
      <x:c r="D9" s="35" t="str">
        <x:v>Комплект ПД, колористическое решение, смета</x:v>
      </x:c>
      <x:c r="E9" s="35" t="str">
        <x:v>ТУ могут стать критическим путем</x:v>
      </x:c>
      <x:c r="F9" s="35" t="str">
        <x:v>Контроль</x:v>
      </x:c>
    </x:row>
    <x:row r="10">
      <x:c r="A10" s="35" t="n">
        <x:v>7</x:v>
      </x:c>
      <x:c r="B10" s="35" t="str">
        <x:v>Госэкспертиза ПД/ИГИ/достоверности</x:v>
      </x:c>
      <x:c r="C10" s="35" t="str">
        <x:v>210-290</x:v>
      </x:c>
      <x:c r="D10" s="35" t="str">
        <x:v>Положительное заключение до дня 300</x:v>
      </x:c>
      <x:c r="E10" s="35" t="str">
        <x:v>Нужно заходить в экспертизу не позже ~210-220 дня</x:v>
      </x:c>
      <x:c r="F10" s="35" t="str">
        <x:v>Контроль</x:v>
      </x:c>
    </x:row>
    <x:row r="11">
      <x:c r="A11" s="35" t="n">
        <x:v>8</x:v>
      </x:c>
      <x:c r="B11" s="35" t="str">
        <x:v>РД по интерьерам</x:v>
      </x:c>
      <x:c r="C11" s="35" t="str">
        <x:v>131-300</x:v>
      </x:c>
      <x:c r="D11" s="35" t="str">
        <x:v>Рабочая документация по интерьерам</x:v>
      </x:c>
      <x:c r="E11" s="35" t="str">
        <x:v>По контракту сдается на этапе 2</x:v>
      </x:c>
      <x:c r="F11" s="35" t="str">
        <x:v>Контроль</x:v>
      </x:c>
    </x:row>
    <x:row r="12">
      <x:c r="A12" s="35" t="n">
        <x:v>9</x:v>
      </x:c>
      <x:c r="B12" s="35" t="str">
        <x:v>Полный комплект РД и согласования</x:v>
      </x:c>
      <x:c r="C12" s="35" t="str">
        <x:v>160-330</x:v>
      </x:c>
      <x:c r="D12" s="35" t="str">
        <x:v>Полный комплект РД, согласования для производства работ</x:v>
      </x:c>
      <x:c r="E12" s="35" t="str">
        <x:v>Фактически РД надо вести параллельно; 30 дней на этапе 3 недостаточно</x:v>
      </x:c>
      <x:c r="F12" s="35" t="str">
        <x:v>Контроль</x:v>
      </x:c>
    </x:row>
    <x:row r="13">
      <x:c r="A13" s="35"/>
      <x:c r="B13" s="35"/>
      <x:c r="C13" s="35"/>
      <x:c r="D13" s="35"/>
      <x:c r="E13" s="35"/>
      <x:c r="F13" s="35"/>
    </x:row>
    <x:row r="14">
      <x:c r="A14" s="35"/>
      <x:c r="B14" s="35"/>
      <x:c r="C14" s="35"/>
      <x:c r="D14" s="35"/>
      <x:c r="E14" s="35"/>
      <x:c r="F14" s="35"/>
    </x:row>
    <x:row r="15">
      <x:c r="A15" s="35"/>
      <x:c r="B15" s="35"/>
      <x:c r="C15" s="35"/>
      <x:c r="D15" s="35"/>
      <x:c r="E15" s="35"/>
      <x:c r="F15" s="35"/>
    </x:row>
    <x:row r="16">
      <x:c r="A16" s="35"/>
      <x:c r="B16" s="35"/>
      <x:c r="C16" s="35"/>
      <x:c r="D16" s="35"/>
      <x:c r="E16" s="35"/>
      <x:c r="F16" s="35"/>
    </x:row>
    <x:row r="17">
      <x:c r="A17" s="35"/>
      <x:c r="B17" s="35"/>
      <x:c r="C17" s="35"/>
      <x:c r="D17" s="35"/>
      <x:c r="E17" s="35"/>
      <x:c r="F17" s="35"/>
    </x:row>
    <x:row r="18">
      <x:c r="A18" s="35"/>
      <x:c r="B18" s="35"/>
      <x:c r="C18" s="35"/>
      <x:c r="D18" s="35"/>
      <x:c r="E18" s="35"/>
      <x:c r="F18" s="35"/>
    </x:row>
    <x:row r="19">
      <x:c r="A19" s="35"/>
      <x:c r="B19" s="35"/>
      <x:c r="C19" s="35"/>
      <x:c r="D19" s="35"/>
      <x:c r="E19" s="35"/>
      <x:c r="F19" s="35"/>
    </x:row>
    <x:row r="20">
      <x:c r="A20" s="35"/>
      <x:c r="B20" s="35"/>
      <x:c r="C20" s="35"/>
      <x:c r="D20" s="35"/>
      <x:c r="E20" s="35"/>
      <x:c r="F20" s="35"/>
    </x:row>
    <x:row r="21">
      <x:c r="A21" s="35"/>
      <x:c r="B21" s="35"/>
      <x:c r="C21" s="35"/>
      <x:c r="D21" s="35"/>
      <x:c r="E21" s="35"/>
      <x:c r="F21" s="35"/>
    </x:row>
    <x:row r="22">
      <x:c r="A22" s="35"/>
      <x:c r="B22" s="35"/>
      <x:c r="C22" s="35"/>
      <x:c r="D22" s="35"/>
      <x:c r="E22" s="35"/>
      <x:c r="F22" s="35"/>
    </x:row>
    <x:row r="23">
      <x:c r="A23" s="35"/>
      <x:c r="B23" s="35"/>
      <x:c r="C23" s="35"/>
      <x:c r="D23" s="35"/>
      <x:c r="E23" s="35"/>
      <x:c r="F23" s="35"/>
    </x:row>
    <x:row r="24">
      <x:c r="A24" s="35"/>
      <x:c r="B24" s="35"/>
      <x:c r="C24" s="35"/>
      <x:c r="D24" s="35"/>
      <x:c r="E24" s="35"/>
      <x:c r="F24" s="35"/>
    </x:row>
    <x:row r="25">
      <x:c r="A25" s="35"/>
      <x:c r="B25" s="35"/>
      <x:c r="C25" s="35"/>
      <x:c r="D25" s="35"/>
      <x:c r="E25" s="35"/>
      <x:c r="F25" s="35"/>
    </x:row>
    <x:row r="26">
      <x:c r="A26" s="35"/>
      <x:c r="B26" s="35"/>
      <x:c r="C26" s="35"/>
      <x:c r="D26" s="35"/>
      <x:c r="E26" s="35"/>
      <x:c r="F26" s="35"/>
    </x:row>
    <x:row r="27">
      <x:c r="A27" s="35"/>
      <x:c r="B27" s="35"/>
      <x:c r="C27" s="35"/>
      <x:c r="D27" s="35"/>
      <x:c r="E27" s="35"/>
      <x:c r="F27" s="35"/>
    </x:row>
    <x:row r="28">
      <x:c r="A28" s="35"/>
      <x:c r="B28" s="35"/>
      <x:c r="C28" s="35"/>
      <x:c r="D28" s="35"/>
      <x:c r="E28" s="35"/>
      <x:c r="F28" s="35"/>
    </x:row>
    <x:row r="29">
      <x:c r="A29" s="35"/>
      <x:c r="B29" s="35"/>
      <x:c r="C29" s="35"/>
      <x:c r="D29" s="35"/>
      <x:c r="E29" s="35"/>
      <x:c r="F29" s="35"/>
    </x:row>
    <x:row r="30">
      <x:c r="A30" s="35"/>
      <x:c r="B30" s="35"/>
      <x:c r="C30" s="35"/>
      <x:c r="D30" s="35"/>
      <x:c r="E30" s="35"/>
      <x:c r="F30" s="3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45" hidden="0" customWidth="1"/>
    <x:col min="5" max="5" width="60" hidden="0" customWidth="1"/>
    <x:col min="6" max="6" width="20" hidden="0" customWidth="1"/>
    <x:col min="7" max="7" width="14" hidden="0" customWidth="1"/>
  </x:cols>
  <x:sheetData>
    <x:row r="1">
      <x:c r="A1" s="58" t="str">
        <x:v>Реестр тонких мест, рисков и недостающей информации</x:v>
      </x:c>
      <x:c r="B1" s="58"/>
      <x:c r="C1" s="58"/>
      <x:c r="D1" s="58"/>
      <x:c r="E1" s="58"/>
      <x:c r="F1" s="58"/>
      <x:c r="G1" s="35"/>
    </x:row>
    <x:row r="2">
      <x:c r="A2" s="35"/>
      <x:c r="B2" s="35"/>
      <x:c r="C2" s="35"/>
      <x:c r="D2" s="35"/>
      <x:c r="E2" s="35"/>
      <x:c r="F2" s="35"/>
      <x:c r="G2" s="35"/>
    </x:row>
    <x:row r="3">
      <x:c r="A3" s="13" t="str">
        <x:v>Риск</x:v>
      </x:c>
      <x:c r="B3" s="13" t="str">
        <x:v>Вероятность</x:v>
      </x:c>
      <x:c r="C3" s="13" t="str">
        <x:v>Влияние</x:v>
      </x:c>
      <x:c r="D3" s="13" t="str">
        <x:v>Последствие</x:v>
      </x:c>
      <x:c r="E3" s="13" t="str">
        <x:v>Мероприятие</x:v>
      </x:c>
      <x:c r="F3" s="13" t="str">
        <x:v>Ответственный контроль</x:v>
      </x:c>
      <x:c r="G3" s="35"/>
    </x:row>
    <x:row r="4">
      <x:c r="A4" s="35" t="str">
        <x:v>СТУ и пожарная безопасность</x:v>
      </x:c>
      <x:c r="B4" s="35" t="str">
        <x:v>Высокая</x:v>
      </x:c>
      <x:c r="C4" s="35" t="str">
        <x:v>Высокое</x:v>
      </x:c>
      <x:c r="D4" s="35" t="str">
        <x:v>Замечания надзорных органов, повторные расчеты, перенос экспертизы</x:v>
      </x:c>
      <x:c r="E4" s="35" t="str">
        <x:v>Заключить субподряд по СТУ до старта; пожарные решения вынести на предпроектное совещание</x:v>
      </x:c>
      <x:c r="F4" s="35" t="str">
        <x:v>ГИП / РП</x:v>
      </x:c>
      <x:c r="G4" s="35"/>
    </x:row>
    <x:row r="5">
      <x:c r="A5" s="35" t="str">
        <x:v>ТУ и дополнительные мощности</x:v>
      </x:c>
      <x:c r="B5" s="35" t="str">
        <x:v>Средняя/высокая</x:v>
      </x:c>
      <x:c r="C5" s="35" t="str">
        <x:v>Высокое</x:v>
      </x:c>
      <x:c r="D5" s="35" t="str">
        <x:v>РСО могут потребовать новые условия, изменить решения ОВиК/ИТП/ВК/ЭОМ</x:v>
      </x:c>
      <x:c r="E5" s="35" t="str">
        <x:v>Сразу запросить действующие договоры, лимиты, схемы, ТУ; сделать early load check</x:v>
      </x:c>
      <x:c r="F5" s="35" t="str">
        <x:v>ГИП / РП</x:v>
      </x:c>
      <x:c r="G5" s="35"/>
    </x:row>
    <x:row r="6">
      <x:c r="A6" s="35" t="str">
        <x:v>30 дней на финальную РД</x:v>
      </x:c>
      <x:c r="B6" s="35" t="str">
        <x:v>Высокая</x:v>
      </x:c>
      <x:c r="C6" s="35" t="str">
        <x:v>Высокое</x:v>
      </x:c>
      <x:c r="D6" s="35" t="str">
        <x:v>Срыв этапа 3, штрафы, отказ в приемке</x:v>
      </x:c>
      <x:c r="E6" s="35" t="str">
        <x:v>РД выполнять параллельно с ПД; к дню 260 иметь 70-80% РД</x:v>
      </x:c>
      <x:c r="F6" s="35" t="str">
        <x:v>ГИП / РП</x:v>
      </x:c>
      <x:c r="G6" s="35"/>
    </x:row>
    <x:row r="7">
      <x:c r="A7" s="35" t="str">
        <x:v>Минимальный состав исходных данных</x:v>
      </x:c>
      <x:c r="B7" s="35" t="str">
        <x:v>Высокая</x:v>
      </x:c>
      <x:c r="C7" s="35" t="str">
        <x:v>Высокое</x:v>
      </x:c>
      <x:c r="D7" s="35" t="str">
        <x:v>Дополнительные обследования и изменения решений за счет подрядчика</x:v>
      </x:c>
      <x:c r="E7" s="35" t="str">
        <x:v>Реестр ИРД/RFI до подписания или в первые 3 дня</x:v>
      </x:c>
      <x:c r="F7" s="35" t="str">
        <x:v>ГИП / РП</x:v>
      </x:c>
      <x:c r="G7" s="35"/>
    </x:row>
    <x:row r="8">
      <x:c r="A8" s="35" t="str">
        <x:v>Работа в действующем учреждении</x:v>
      </x:c>
      <x:c r="B8" s="35" t="str">
        <x:v>Средняя</x:v>
      </x:c>
      <x:c r="C8" s="35" t="str">
        <x:v>Среднее/высокое</x:v>
      </x:c>
      <x:c r="D8" s="35" t="str">
        <x:v>Ограничение доступа, невозможность вскрытий, ночные работы</x:v>
      </x:c>
      <x:c r="E8" s="35" t="str">
        <x:v>Согласовать график доступа, ответственных, порядок вскрытий и восстановления</x:v>
      </x:c>
      <x:c r="F8" s="35" t="str">
        <x:v>ГИП / РП</x:v>
      </x:c>
      <x:c r="G8" s="35"/>
    </x:row>
    <x:row r="9">
      <x:c r="A9" s="35" t="str">
        <x:v>Музейные фонды и климат</x:v>
      </x:c>
      <x:c r="B9" s="35" t="str">
        <x:v>Средняя</x:v>
      </x:c>
      <x:c r="C9" s="35" t="str">
        <x:v>Высокое</x:v>
      </x:c>
      <x:c r="D9" s="35" t="str">
        <x:v>Спец. климат и пожаротушение увеличивают трудоемкость и согласования</x:v>
      </x:c>
      <x:c r="E9" s="35" t="str">
        <x:v>Уточнить требования к хранению, экспонатам, предельным режимам и оборудованию</x:v>
      </x:c>
      <x:c r="F9" s="35" t="str">
        <x:v>ГИП / РП</x:v>
      </x:c>
      <x:c r="G9" s="35"/>
    </x:row>
    <x:row r="10">
      <x:c r="A10" s="35" t="str">
        <x:v>Противоречия в ТЗ</x:v>
      </x:c>
      <x:c r="B10" s="35" t="str">
        <x:v>Высокая</x:v>
      </x:c>
      <x:c r="C10" s="35" t="str">
        <x:v>Среднее</x:v>
      </x:c>
      <x:c r="D10" s="35" t="str">
        <x:v>Споры по исходным параметрам: 1984/1987, объем с «?», постоянное пребывание людей</x:v>
      </x:c>
      <x:c r="E10" s="35" t="str">
        <x:v>Официальные разъяснения заказчика до начала проектирования</x:v>
      </x:c>
      <x:c r="F10" s="35" t="str">
        <x:v>ГИП / РП</x:v>
      </x:c>
      <x:c r="G10" s="35"/>
    </x:row>
    <x:row r="11">
      <x:c r="A11" s="35" t="str">
        <x:v>Отсутствие аванса и обеспечение 20%</x:v>
      </x:c>
      <x:c r="B11" s="35" t="str">
        <x:v>Высокая</x:v>
      </x:c>
      <x:c r="C11" s="35" t="str">
        <x:v>Среднее/высокое</x:v>
      </x:c>
      <x:c r="D11" s="35" t="str">
        <x:v>Кассовый разрыв и стоимость гарантии</x:v>
      </x:c>
      <x:c r="E11" s="35" t="str">
        <x:v>Финансовый план по этапам; независимая гарантия вместо заморозки денежных средств</x:v>
      </x:c>
      <x:c r="F11" s="35" t="str">
        <x:v>ГИП / РП</x:v>
      </x:c>
      <x:c r="G11" s="35"/>
    </x:row>
    <x:row r="12">
      <x:c r="A12" s="35" t="str">
        <x:v>5-летняя гарантия на документацию</x:v>
      </x:c>
      <x:c r="B12" s="35" t="str">
        <x:v>Высокая</x:v>
      </x:c>
      <x:c r="C12" s="35" t="str">
        <x:v>Среднее/высокое</x:v>
      </x:c>
      <x:c r="D12" s="35" t="str">
        <x:v>Затраты на доработки в период строительства/эксплуатации</x:v>
      </x:c>
      <x:c r="E12" s="35" t="str">
        <x:v>Внутренний QA и архив исходных решений; лимитировать внешние изменения актами</x:v>
      </x:c>
      <x:c r="F12" s="35" t="str">
        <x:v>ГИП / РП</x:v>
      </x:c>
      <x:c r="G12" s="35"/>
    </x:row>
    <x:row r="13">
      <x:c r="A13" s="35" t="str">
        <x:v>Сметы/экспертиза достоверности</x:v>
      </x:c>
      <x:c r="B13" s="35" t="str">
        <x:v>Средняя</x:v>
      </x:c>
      <x:c r="C13" s="35" t="str">
        <x:v>Высокое</x:v>
      </x:c>
      <x:c r="D13" s="35" t="str">
        <x:v>Замечания по объемам/прайсам; отсутствуют формулы/ссылки</x:v>
      </x:c>
      <x:c r="E13" s="35" t="str">
        <x:v>ВОР с формулами по каждому разделу, ранний контроль сметчика и ГИПа</x:v>
      </x:c>
      <x:c r="F13" s="35" t="str">
        <x:v>ГИП / РП</x:v>
      </x:c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70" t="str">
        <x:v>Вопросы/запросы заказчику до старта</x:v>
      </x:c>
      <x:c r="B16" s="70" t="str">
        <x:v>Цель</x:v>
      </x:c>
      <x:c r="C16" s="35"/>
      <x:c r="D16" s="35"/>
      <x:c r="E16" s="35"/>
      <x:c r="F16" s="35"/>
      <x:c r="G16" s="35"/>
    </x:row>
    <x:row r="17">
      <x:c r="A17" s="35" t="str">
        <x:v>Подтвердить год ввода здания: в ТЗ встречаются 1984 и 1987.</x:v>
      </x:c>
      <x:c r="B17" s="35" t="str">
        <x:v>Снять неопределенность объема/сроков/стоимости</x:v>
      </x:c>
      <x:c r="C17" s="35"/>
      <x:c r="D17" s="35"/>
      <x:c r="E17" s="35"/>
      <x:c r="F17" s="35"/>
      <x:c r="G17" s="35"/>
    </x:row>
    <x:row r="18">
      <x:c r="A18" s="35" t="str">
        <x:v>Подтвердить строительный объем: в ТЗ указан «? 4600,0 м3».</x:v>
      </x:c>
      <x:c r="B18" s="35" t="str">
        <x:v>Снять неопределенность объема/сроков/стоимости</x:v>
      </x:c>
      <x:c r="C18" s="35"/>
      <x:c r="D18" s="35"/>
      <x:c r="E18" s="35"/>
      <x:c r="F18" s="35"/>
      <x:c r="G18" s="35"/>
    </x:row>
    <x:row r="19">
      <x:c r="A19" s="35" t="str">
        <x:v>Передать действующие ТУ, договоры технологического присоединения, лимиты и фактические нагрузки по теплу, воде, канализации, электрике, связи.</x:v>
      </x:c>
      <x:c r="B19" s="35" t="str">
        <x:v>Снять неопределенность объема/сроков/стоимости</x:v>
      </x:c>
      <x:c r="C19" s="35"/>
      <x:c r="D19" s="35"/>
      <x:c r="E19" s="35"/>
      <x:c r="F19" s="35"/>
      <x:c r="G19" s="35"/>
    </x:row>
    <x:row r="20">
      <x:c r="A20" s="35" t="str">
        <x:v>Передать существующую проектную/исполнительную документацию по конструкциям и инженерным системам, паспорта оборудования, акты обследований.</x:v>
      </x:c>
      <x:c r="B20" s="35" t="str">
        <x:v>Снять неопределенность объема/сроков/стоимости</x:v>
      </x:c>
      <x:c r="C20" s="35"/>
      <x:c r="D20" s="35"/>
      <x:c r="E20" s="35"/>
      <x:c r="F20" s="35"/>
      <x:c r="G20" s="35"/>
    </x:row>
    <x:row r="21">
      <x:c r="A21" s="35" t="str">
        <x:v>Передать/подтвердить правоустанавливающие документы на земельный участок и сведения о сетях/подземных коммуникациях.</x:v>
      </x:c>
      <x:c r="B21" s="35" t="str">
        <x:v>Снять неопределенность объема/сроков/стоимости</x:v>
      </x:c>
      <x:c r="C21" s="35"/>
      <x:c r="D21" s="35"/>
      <x:c r="E21" s="35"/>
      <x:c r="F21" s="35"/>
      <x:c r="G21" s="35"/>
    </x:row>
    <x:row r="22">
      <x:c r="A22" s="35" t="str">
        <x:v>Уточнить режим работы учреждения и допустимые окна для обследований, вскрытий, обмеров, фотофиксации и доступа на кровлю/в подвалы.</x:v>
      </x:c>
      <x:c r="B22" s="35" t="str">
        <x:v>Снять неопределенность объема/сроков/стоимости</x:v>
      </x:c>
      <x:c r="C22" s="35"/>
      <x:c r="D22" s="35"/>
      <x:c r="E22" s="35"/>
      <x:c r="F22" s="35"/>
      <x:c r="G22" s="35"/>
    </x:row>
    <x:row r="23">
      <x:c r="A23" s="35" t="str">
        <x:v>Уточнить функциональную программу: расчетные посетители, персонал, рабочие места, требования к гардеробу, залам, хранилищам, мастерским.</x:v>
      </x:c>
      <x:c r="B23" s="35" t="str">
        <x:v>Снять неопределенность объема/сроков/стоимости</x:v>
      </x:c>
      <x:c r="C23" s="35"/>
      <x:c r="D23" s="35"/>
      <x:c r="E23" s="35"/>
      <x:c r="F23" s="35"/>
      <x:c r="G23" s="35"/>
    </x:row>
    <x:row r="24">
      <x:c r="A24" s="35" t="str">
        <x:v>Уточнить требования к музейному хранению: перечень экспонатов, температурно-влажностные режимы, пожаротушение, допустимые материалы.</x:v>
      </x:c>
      <x:c r="B24" s="35" t="str">
        <x:v>Снять неопределенность объема/сроков/стоимости</x:v>
      </x:c>
      <x:c r="C24" s="35"/>
      <x:c r="D24" s="35"/>
      <x:c r="E24" s="35"/>
      <x:c r="F24" s="35"/>
      <x:c r="G24" s="35"/>
    </x:row>
    <x:row r="25">
      <x:c r="A25" s="35" t="str">
        <x:v>Подтвердить необходимость и порядок разработки/согласования СТУ; указать согласующий орган и ожидаемые сроки.</x:v>
      </x:c>
      <x:c r="B25" s="35" t="str">
        <x:v>Снять неопределенность объема/сроков/стоимости</x:v>
      </x:c>
      <x:c r="C25" s="35"/>
      <x:c r="D25" s="35"/>
      <x:c r="E25" s="35"/>
      <x:c r="F25" s="35"/>
      <x:c r="G25" s="35"/>
    </x:row>
    <x:row r="26">
      <x:c r="A26" s="35" t="str">
        <x:v>Уточнить, включены ли платежи/госпошлины за государственную экспертизу и достоверность сметной стоимости в цену подрядчика.</x:v>
      </x:c>
      <x:c r="B26" s="35" t="str">
        <x:v>Снять неопределенность объема/сроков/стоимости</x:v>
      </x:c>
      <x:c r="C26" s="35"/>
      <x:c r="D26" s="35"/>
      <x:c r="E26" s="35"/>
      <x:c r="F26" s="35"/>
      <x:c r="G26" s="35"/>
    </x:row>
    <x:row r="27">
      <x:c r="A27" s="35" t="str">
        <x:v>Уточнить порядок заключения и оплаты договора авторского надзора, упомянутого в ТЗ.</x:v>
      </x:c>
      <x:c r="B27" s="35" t="str">
        <x:v>Снять неопределенность объема/сроков/стоимости</x:v>
      </x:c>
      <x:c r="C27" s="35"/>
      <x:c r="D27" s="35"/>
      <x:c r="E27" s="35"/>
      <x:c r="F27" s="35"/>
      <x:c r="G27" s="35"/>
    </x:row>
    <x:row r="28">
      <x:c r="A28" s="35" t="str">
        <x:v>Согласовать перечень внешних согласований и лицо, ответственное за получение исходных писем/доверенностей.</x:v>
      </x:c>
      <x:c r="B28" s="35" t="str">
        <x:v>Снять неопределенность объема/сроков/стоимости</x:v>
      </x:c>
      <x:c r="C28" s="35"/>
      <x:c r="D28" s="35"/>
      <x:c r="E28" s="35"/>
      <x:c r="F28" s="35"/>
      <x:c r="G28" s="35"/>
    </x:row>
    <x:row r="29">
      <x:c r="A29" s="35"/>
      <x:c r="B29" s="35"/>
      <x:c r="C29" s="35"/>
      <x:c r="D29" s="35"/>
      <x:c r="E29" s="35"/>
      <x:c r="F29" s="35"/>
      <x:c r="G29" s="35"/>
    </x:row>
    <x:row r="30">
      <x:c r="A30" s="35"/>
      <x:c r="B30" s="35"/>
      <x:c r="C30" s="35"/>
      <x:c r="D30" s="35"/>
      <x:c r="E30" s="35"/>
      <x:c r="F30" s="35"/>
      <x:c r="G30" s="35"/>
    </x:row>
    <x:row r="31">
      <x:c r="A31" s="35"/>
      <x:c r="B31" s="35"/>
      <x:c r="C31" s="35"/>
      <x:c r="D31" s="35"/>
      <x:c r="E31" s="35"/>
      <x:c r="F31" s="35"/>
      <x:c r="G31" s="35"/>
    </x:row>
    <x:row r="32">
      <x:c r="A32" s="35"/>
      <x:c r="B32" s="35"/>
      <x:c r="C32" s="35"/>
      <x:c r="D32" s="35"/>
      <x:c r="E32" s="35"/>
      <x:c r="F32" s="35"/>
      <x:c r="G32" s="35"/>
    </x:row>
    <x:row r="33">
      <x:c r="A33" s="35"/>
      <x:c r="B33" s="35"/>
      <x:c r="C33" s="35"/>
      <x:c r="D33" s="35"/>
      <x:c r="E33" s="35"/>
      <x:c r="F33" s="35"/>
      <x:c r="G33" s="35"/>
    </x:row>
    <x:row r="34">
      <x:c r="A34" s="35"/>
      <x:c r="B34" s="35"/>
      <x:c r="C34" s="35"/>
      <x:c r="D34" s="35"/>
      <x:c r="E34" s="35"/>
      <x:c r="F34" s="35"/>
      <x:c r="G34" s="35"/>
    </x:row>
    <x:row r="35">
      <x:c r="A35" s="35"/>
      <x:c r="B35" s="35"/>
      <x:c r="C35" s="35"/>
      <x:c r="D35" s="35"/>
      <x:c r="E35" s="35"/>
      <x:c r="F35" s="35"/>
      <x:c r="G35" s="35"/>
    </x:row>
    <x:row r="36">
      <x:c r="A36" s="35"/>
      <x:c r="B36" s="35"/>
      <x:c r="C36" s="35"/>
      <x:c r="D36" s="35"/>
      <x:c r="E36" s="35"/>
      <x:c r="F36" s="35"/>
      <x:c r="G36" s="35"/>
    </x:row>
    <x:row r="37">
      <x:c r="A37" s="35"/>
      <x:c r="B37" s="35"/>
      <x:c r="C37" s="35"/>
      <x:c r="D37" s="35"/>
      <x:c r="E37" s="35"/>
      <x:c r="F37" s="35"/>
      <x:c r="G37" s="35"/>
    </x:row>
    <x:row r="38">
      <x:c r="A38" s="35"/>
      <x:c r="B38" s="35"/>
      <x:c r="C38" s="35"/>
      <x:c r="D38" s="35"/>
      <x:c r="E38" s="35"/>
      <x:c r="F38" s="35"/>
      <x:c r="G38" s="35"/>
    </x:row>
    <x:row r="39">
      <x:c r="A39" s="35"/>
      <x:c r="B39" s="35"/>
      <x:c r="C39" s="35"/>
      <x:c r="D39" s="35"/>
      <x:c r="E39" s="35"/>
      <x:c r="F39" s="35"/>
      <x:c r="G39" s="35"/>
    </x:row>
    <x:row r="40">
      <x:c r="A40" s="35"/>
      <x:c r="B40" s="35"/>
      <x:c r="C40" s="35"/>
      <x:c r="D40" s="35"/>
      <x:c r="E40" s="35"/>
      <x:c r="F40" s="35"/>
      <x:c r="G40" s="35"/>
    </x:row>
    <x:row r="41">
      <x:c r="A41" s="35"/>
      <x:c r="B41" s="35"/>
      <x:c r="C41" s="35"/>
      <x:c r="D41" s="35"/>
      <x:c r="E41" s="35"/>
      <x:c r="F41" s="35"/>
      <x:c r="G41" s="35"/>
    </x:row>
    <x:row r="42">
      <x:c r="A42" s="35"/>
      <x:c r="B42" s="35"/>
      <x:c r="C42" s="35"/>
      <x:c r="D42" s="35"/>
      <x:c r="E42" s="35"/>
      <x:c r="F42" s="35"/>
      <x:c r="G42" s="35"/>
    </x:row>
    <x:row r="43">
      <x:c r="A43" s="35"/>
      <x:c r="B43" s="35"/>
      <x:c r="C43" s="35"/>
      <x:c r="D43" s="35"/>
      <x:c r="E43" s="35"/>
      <x:c r="F43" s="35"/>
      <x:c r="G43" s="35"/>
    </x:row>
    <x:row r="44">
      <x:c r="A44" s="35"/>
      <x:c r="B44" s="35"/>
      <x:c r="C44" s="35"/>
      <x:c r="D44" s="35"/>
      <x:c r="E44" s="35"/>
      <x:c r="F44" s="35"/>
      <x:c r="G44" s="35"/>
    </x:row>
    <x:row r="45">
      <x:c r="A45" s="35"/>
      <x:c r="B45" s="35"/>
      <x:c r="C45" s="35"/>
      <x:c r="D45" s="35"/>
      <x:c r="E45" s="35"/>
      <x:c r="F45" s="35"/>
      <x:c r="G45" s="35"/>
    </x:row>
    <x:row r="46">
      <x:c r="A46" s="35"/>
      <x:c r="B46" s="35"/>
      <x:c r="C46" s="35"/>
      <x:c r="D46" s="35"/>
      <x:c r="E46" s="35"/>
      <x:c r="F46" s="35"/>
      <x:c r="G46" s="35"/>
    </x:row>
    <x:row r="47">
      <x:c r="A47" s="35"/>
      <x:c r="B47" s="35"/>
      <x:c r="C47" s="35"/>
      <x:c r="D47" s="35"/>
      <x:c r="E47" s="35"/>
      <x:c r="F47" s="35"/>
      <x:c r="G47" s="35"/>
    </x:row>
    <x:row r="48">
      <x:c r="A48" s="35"/>
      <x:c r="B48" s="35"/>
      <x:c r="C48" s="35"/>
      <x:c r="D48" s="35"/>
      <x:c r="E48" s="35"/>
      <x:c r="F48" s="35"/>
      <x:c r="G48" s="35"/>
    </x:row>
    <x:row r="49">
      <x:c r="A49" s="35"/>
      <x:c r="B49" s="35"/>
      <x:c r="C49" s="35"/>
      <x:c r="D49" s="35"/>
      <x:c r="E49" s="35"/>
      <x:c r="F49" s="35"/>
      <x:c r="G49" s="35"/>
    </x:row>
    <x:row r="50">
      <x:c r="A50" s="35"/>
      <x:c r="B50" s="35"/>
      <x:c r="C50" s="35"/>
      <x:c r="D50" s="35"/>
      <x:c r="E50" s="35"/>
      <x:c r="F50" s="35"/>
      <x:c r="G50" s="35"/>
    </x:row>
    <x:row r="51">
      <x:c r="A51" s="35"/>
      <x:c r="B51" s="35"/>
      <x:c r="C51" s="35"/>
      <x:c r="D51" s="35"/>
      <x:c r="E51" s="35"/>
      <x:c r="F51" s="35"/>
      <x:c r="G51" s="35"/>
    </x:row>
    <x:row r="52">
      <x:c r="A52" s="35"/>
      <x:c r="B52" s="35"/>
      <x:c r="C52" s="35"/>
      <x:c r="D52" s="35"/>
      <x:c r="E52" s="35"/>
      <x:c r="F52" s="35"/>
      <x:c r="G52" s="35"/>
    </x:row>
    <x:row r="53">
      <x:c r="A53" s="35"/>
      <x:c r="B53" s="35"/>
      <x:c r="C53" s="35"/>
      <x:c r="D53" s="35"/>
      <x:c r="E53" s="35"/>
      <x:c r="F53" s="35"/>
      <x:c r="G53" s="35"/>
    </x:row>
    <x:row r="54">
      <x:c r="A54" s="35"/>
      <x:c r="B54" s="35"/>
      <x:c r="C54" s="35"/>
      <x:c r="D54" s="35"/>
      <x:c r="E54" s="35"/>
      <x:c r="F54" s="35"/>
      <x:c r="G54" s="35"/>
    </x:row>
    <x:row r="55">
      <x:c r="A55" s="35"/>
      <x:c r="B55" s="35"/>
      <x:c r="C55" s="35"/>
      <x:c r="D55" s="35"/>
      <x:c r="E55" s="35"/>
      <x:c r="F55" s="35"/>
      <x:c r="G55" s="35"/>
    </x:row>
    <x:row r="56">
      <x:c r="A56" s="35"/>
      <x:c r="B56" s="35"/>
      <x:c r="C56" s="35"/>
      <x:c r="D56" s="35"/>
      <x:c r="E56" s="35"/>
      <x:c r="F56" s="35"/>
      <x:c r="G56" s="35"/>
    </x:row>
    <x:row r="57">
      <x:c r="A57" s="35"/>
      <x:c r="B57" s="35"/>
      <x:c r="C57" s="35"/>
      <x:c r="D57" s="35"/>
      <x:c r="E57" s="35"/>
      <x:c r="F57" s="35"/>
      <x:c r="G57" s="35"/>
    </x:row>
    <x:row r="58">
      <x:c r="A58" s="35"/>
      <x:c r="B58" s="35"/>
      <x:c r="C58" s="35"/>
      <x:c r="D58" s="35"/>
      <x:c r="E58" s="35"/>
      <x:c r="F58" s="35"/>
      <x:c r="G58" s="35"/>
    </x:row>
    <x:row r="59">
      <x:c r="A59" s="35"/>
      <x:c r="B59" s="35"/>
      <x:c r="C59" s="35"/>
      <x:c r="D59" s="35"/>
      <x:c r="E59" s="35"/>
      <x:c r="F59" s="35"/>
      <x:c r="G59" s="35"/>
    </x:row>
    <x:row r="60">
      <x:c r="A60" s="35"/>
      <x:c r="B60" s="35"/>
      <x:c r="C60" s="35"/>
      <x:c r="D60" s="35"/>
      <x:c r="E60" s="35"/>
      <x:c r="F60" s="35"/>
      <x:c r="G60" s="3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0" hidden="0" customWidth="1"/>
    <x:col min="3" max="3" width="55" hidden="0" customWidth="1"/>
    <x:col min="4" max="4" width="45" hidden="0" customWidth="1"/>
  </x:cols>
  <x:sheetData>
    <x:row r="1">
      <x:c r="A1" s="12" t="str">
        <x:v>Источник</x:v>
      </x:c>
      <x:c r="B1" s="12" t="str">
        <x:v>Раздел/лист</x:v>
      </x:c>
      <x:c r="C1" s="12" t="str">
        <x:v>Что использовано</x:v>
      </x:c>
      <x:c r="D1" s="12" t="str">
        <x:v>Комментарий</x:v>
      </x:c>
    </x:row>
    <x:row r="2">
      <x:c r="A2" s="35" t="str">
        <x:v>Проект_контракта_17135071-1.pdf</x:v>
      </x:c>
      <x:c r="B2" s="35" t="str">
        <x:v>ст. 2-4, 7-9, Приложение 2</x:v>
      </x:c>
      <x:c r="C2" s="35" t="str">
        <x:v>оплата, отсутствие аванса, сроки, приемка, ответственность, обеспечение</x:v>
      </x:c>
      <x:c r="D2" s="35" t="str">
        <x:v>Вложенный файл пользователя</x:v>
      </x:c>
    </x:row>
    <x:row r="3">
      <x:c r="A3" s="35" t="str">
        <x:v>Техническое_задание_17135071-1.pdf</x:v>
      </x:c>
      <x:c r="B3" s="35" t="str">
        <x:v>разд. 2-4, Приложения 1-4</x:v>
      </x:c>
      <x:c r="C3" s="35" t="str">
        <x:v>состав работ, исходные данные, ТЗ, стадии, результаты, требования к сметам/экспертизе</x:v>
      </x:c>
      <x:c r="D3" s="35" t="str">
        <x:v>Вложенный файл пользователя</x:v>
      </x:c>
    </x:row>
    <x:row r="4">
      <x:c r="A4" s="35" t="str">
        <x:v>Сметы - ПД на КР Галерея на Каширке.xlsx</x:v>
      </x:c>
      <x:c r="B4" s="35" t="str">
        <x:v>РН(М)Ц, Сводная смета</x:v>
      </x:c>
      <x:c r="C4" s="35" t="str">
        <x:v>НМЦК и структура стоимости</x:v>
      </x:c>
      <x:c r="D4" s="35" t="str">
        <x:v>Проверено с файлом Расчет НМЦК - значения совпадают</x:v>
      </x:c>
    </x:row>
    <x:row r="5">
      <x:c r="A5" s="35" t="str">
        <x:v>Расчет НМЦК - ПД на КР Галерея на Каширке.xlsx</x:v>
      </x:c>
      <x:c r="B5" s="35" t="str">
        <x:v>РН(М)Ц, Сводная смета</x:v>
      </x:c>
      <x:c r="C5" s="35" t="str">
        <x:v>контрольный расчет НМЦК</x:v>
      </x:c>
      <x:c r="D5" s="35" t="str">
        <x:v>Совпадает с файлом «Сметы»</x:v>
      </x:c>
    </x:row>
    <x:row r="6">
      <x:c r="A6" s="35"/>
      <x:c r="B6" s="35"/>
      <x:c r="C6" s="35"/>
      <x:c r="D6" s="35"/>
    </x:row>
    <x:row r="7">
      <x:c r="A7" s="35"/>
      <x:c r="B7" s="35"/>
      <x:c r="C7" s="35"/>
      <x:c r="D7" s="35"/>
    </x:row>
    <x:row r="8">
      <x:c r="A8" s="35"/>
      <x:c r="B8" s="35"/>
      <x:c r="C8" s="35"/>
      <x:c r="D8" s="35"/>
    </x:row>
    <x:row r="9">
      <x:c r="A9" s="35"/>
      <x:c r="B9" s="35"/>
      <x:c r="C9" s="35"/>
      <x:c r="D9" s="35"/>
    </x:row>
    <x:row r="10">
      <x:c r="A10" s="35"/>
      <x:c r="B10" s="35"/>
      <x:c r="C10" s="35"/>
      <x:c r="D10" s="35"/>
    </x:row>
    <x:row r="11">
      <x:c r="A11" s="35"/>
      <x:c r="B11" s="35"/>
      <x:c r="C11" s="35"/>
      <x:c r="D11" s="35"/>
    </x:row>
    <x:row r="12">
      <x:c r="A12" s="35"/>
      <x:c r="B12" s="35"/>
      <x:c r="C12" s="35"/>
      <x:c r="D12" s="35"/>
    </x:row>
    <x:row r="13">
      <x:c r="A13" s="35"/>
      <x:c r="B13" s="35"/>
      <x:c r="C13" s="35"/>
      <x:c r="D13" s="35"/>
    </x:row>
    <x:row r="14">
      <x:c r="A14" s="35"/>
      <x:c r="B14" s="35"/>
      <x:c r="C14" s="35"/>
      <x:c r="D14" s="35"/>
    </x:row>
    <x:row r="15">
      <x:c r="A15" s="35"/>
      <x:c r="B15" s="35"/>
      <x:c r="C15" s="35"/>
      <x:c r="D15" s="35"/>
    </x:row>
    <x:row r="16">
      <x:c r="A16" s="35"/>
      <x:c r="B16" s="35"/>
      <x:c r="C16" s="35"/>
      <x:c r="D16" s="35"/>
    </x:row>
    <x:row r="17">
      <x:c r="A17" s="35"/>
      <x:c r="B17" s="35"/>
      <x:c r="C17" s="35"/>
      <x:c r="D17" s="35"/>
    </x:row>
    <x:row r="18">
      <x:c r="A18" s="35"/>
      <x:c r="B18" s="35"/>
      <x:c r="C18" s="35"/>
      <x:c r="D18" s="35"/>
    </x:row>
    <x:row r="19">
      <x:c r="A19" s="35"/>
      <x:c r="B19" s="35"/>
      <x:c r="C19" s="35"/>
      <x:c r="D19" s="35"/>
    </x:row>
    <x:row r="20">
      <x:c r="A20" s="35"/>
      <x:c r="B20" s="35"/>
      <x:c r="C20" s="35"/>
      <x:c r="D20" s="35"/>
    </x:row>
    <x:row r="21">
      <x:c r="A21" s="35"/>
      <x:c r="B21" s="35"/>
      <x:c r="C21" s="35"/>
      <x:c r="D21" s="35"/>
    </x:row>
    <x:row r="22">
      <x:c r="A22" s="35"/>
      <x:c r="B22" s="35"/>
      <x:c r="C22" s="35"/>
      <x:c r="D22" s="35"/>
    </x:row>
    <x:row r="23">
      <x:c r="A23" s="35"/>
      <x:c r="B23" s="35"/>
      <x:c r="C23" s="35"/>
      <x:c r="D23" s="35"/>
    </x:row>
    <x:row r="24">
      <x:c r="A24" s="35"/>
      <x:c r="B24" s="35"/>
      <x:c r="C24" s="35"/>
      <x:c r="D24" s="35"/>
    </x:row>
    <x:row r="25">
      <x:c r="A25" s="35"/>
      <x:c r="B25" s="35"/>
      <x:c r="C25" s="35"/>
      <x:c r="D25" s="35"/>
    </x:row>
    <x:row r="26">
      <x:c r="A26" s="35"/>
      <x:c r="B26" s="35"/>
      <x:c r="C26" s="35"/>
      <x:c r="D26" s="35"/>
    </x:row>
    <x:row r="27">
      <x:c r="A27" s="35"/>
      <x:c r="B27" s="35"/>
      <x:c r="C27" s="35"/>
      <x:c r="D27" s="35"/>
    </x:row>
    <x:row r="28">
      <x:c r="A28" s="35"/>
      <x:c r="B28" s="35"/>
      <x:c r="C28" s="35"/>
      <x:c r="D28" s="35"/>
    </x:row>
    <x:row r="29">
      <x:c r="A29" s="35"/>
      <x:c r="B29" s="35"/>
      <x:c r="C29" s="35"/>
      <x:c r="D29" s="35"/>
    </x:row>
    <x:row r="30">
      <x:c r="A30" s="35"/>
      <x:c r="B30" s="35"/>
      <x:c r="C30" s="35"/>
      <x:c r="D30" s="35"/>
    </x:row>
    <x:row r="31">
      <x:c r="A31" s="35"/>
      <x:c r="B31" s="35"/>
      <x:c r="C31" s="35"/>
      <x:c r="D31" s="35"/>
    </x:row>
    <x:row r="32">
      <x:c r="A32" s="35"/>
      <x:c r="B32" s="35"/>
      <x:c r="C32" s="35"/>
      <x:c r="D32" s="35"/>
    </x:row>
    <x:row r="33">
      <x:c r="A33" s="35"/>
      <x:c r="B33" s="35"/>
      <x:c r="C33" s="35"/>
      <x:c r="D33" s="35"/>
    </x:row>
    <x:row r="34">
      <x:c r="A34" s="35"/>
      <x:c r="B34" s="35"/>
      <x:c r="C34" s="35"/>
      <x:c r="D34" s="35"/>
    </x:row>
    <x:row r="35">
      <x:c r="A35" s="35"/>
      <x:c r="B35" s="35"/>
      <x:c r="C35" s="35"/>
      <x:c r="D35" s="35"/>
    </x:row>
    <x:row r="36">
      <x:c r="A36" s="35"/>
      <x:c r="B36" s="35"/>
      <x:c r="C36" s="35"/>
      <x:c r="D36" s="35"/>
    </x:row>
    <x:row r="37">
      <x:c r="A37" s="35"/>
      <x:c r="B37" s="35"/>
      <x:c r="C37" s="35"/>
      <x:c r="D37" s="35"/>
    </x:row>
    <x:row r="38">
      <x:c r="A38" s="35"/>
      <x:c r="B38" s="35"/>
      <x:c r="C38" s="35"/>
      <x:c r="D38" s="35"/>
    </x:row>
    <x:row r="39">
      <x:c r="A39" s="35"/>
      <x:c r="B39" s="35"/>
      <x:c r="C39" s="35"/>
      <x:c r="D39" s="35"/>
    </x:row>
    <x:row r="40">
      <x:c r="A40" s="35"/>
      <x:c r="B40" s="35"/>
      <x:c r="C40" s="35"/>
      <x:c r="D40" s="35"/>
    </x:row>
  </x:sheetData>
  <x:pageMargins left="0.7" right="0.7" top="0.75" bottom="0.75" header="0.3" footer="0.3"/>
</x:worksheet>
</file>